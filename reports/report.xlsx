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Анализ" sheetId="1" state="visible" r:id="rId3"/>
    <sheet name="Участки" sheetId="2" state="visible" r:id="rId4"/>
    <sheet name="Люди" sheetId="3" state="visible" r:id="rId5"/>
    <sheet name="Захоронени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<sst xmlns="http://schemas.openxmlformats.org/spreadsheetml/2006/main" count="245" uniqueCount="94">
  <si>
    <t xml:space="preserve">Показатель</t>
  </si>
  <si>
    <t xml:space="preserve">Значение</t>
  </si>
  <si>
    <t xml:space="preserve">Всего участков</t>
  </si>
  <si>
    <t xml:space="preserve">Занято</t>
  </si>
  <si>
    <t xml:space="preserve">Свободно</t>
  </si>
  <si>
    <t xml:space="preserve">Загрузка, %</t>
  </si>
  <si>
    <t xml:space="preserve">Средний возраст</t>
  </si>
  <si>
    <t xml:space="preserve">Минимальный возраст</t>
  </si>
  <si>
    <t xml:space="preserve">Максимальный возраст</t>
  </si>
  <si>
    <t xml:space="preserve">Месяцев</t>
  </si>
  <si>
    <t xml:space="preserve">Захоронений в месяц</t>
  </si>
  <si>
    <t xml:space="preserve">Свободных мест хватит, мес.</t>
  </si>
  <si>
    <t xml:space="preserve">Занято: Северное</t>
  </si>
  <si>
    <t xml:space="preserve">Занято: Южное</t>
  </si>
  <si>
    <t xml:space="preserve">Захоронений в 2024</t>
  </si>
  <si>
    <t xml:space="preserve">Захоронений в 2025</t>
  </si>
  <si>
    <t xml:space="preserve">Участок</t>
  </si>
  <si>
    <t xml:space="preserve">Кладбище</t>
  </si>
  <si>
    <t xml:space="preserve">Секция</t>
  </si>
  <si>
    <t xml:space="preserve">Номер</t>
  </si>
  <si>
    <t xml:space="preserve">Статус</t>
  </si>
  <si>
    <t xml:space="preserve">Северное</t>
  </si>
  <si>
    <t xml:space="preserve">А</t>
  </si>
  <si>
    <t xml:space="preserve">Б</t>
  </si>
  <si>
    <t xml:space="preserve">Южное</t>
  </si>
  <si>
    <t xml:space="preserve">ФИО</t>
  </si>
  <si>
    <t xml:space="preserve">Пол</t>
  </si>
  <si>
    <t xml:space="preserve">Дата рождения</t>
  </si>
  <si>
    <t xml:space="preserve">Смирнова Галина Ивановна</t>
  </si>
  <si>
    <t xml:space="preserve">Ж</t>
  </si>
  <si>
    <t xml:space="preserve">Иванова Людмила Сергеевна</t>
  </si>
  <si>
    <t xml:space="preserve">Кузнецова Мария Юрьевна</t>
  </si>
  <si>
    <t xml:space="preserve">Кузнецов Борис Иванович</t>
  </si>
  <si>
    <t xml:space="preserve">М</t>
  </si>
  <si>
    <t xml:space="preserve">Лебедева Ольга Алексеевна</t>
  </si>
  <si>
    <t xml:space="preserve">Попова Людмила Николаевна</t>
  </si>
  <si>
    <t xml:space="preserve">Васильев Пётр Юрьевич</t>
  </si>
  <si>
    <t xml:space="preserve">Михайлов Юрий Викторович</t>
  </si>
  <si>
    <t xml:space="preserve">Васильев Алексей Сергеевич</t>
  </si>
  <si>
    <t xml:space="preserve">Фёдорова Татьяна Юрьевна</t>
  </si>
  <si>
    <t xml:space="preserve">Фёдорова Мария Петровна</t>
  </si>
  <si>
    <t xml:space="preserve">Смирнов Владимир Викторович</t>
  </si>
  <si>
    <t xml:space="preserve">Фёдоров Михаил Михайлович</t>
  </si>
  <si>
    <t xml:space="preserve">Михайлов Пётр Петрович</t>
  </si>
  <si>
    <t xml:space="preserve">Иванов Алексей Борисович</t>
  </si>
  <si>
    <t xml:space="preserve">Морозова Нина Ивановна</t>
  </si>
  <si>
    <t xml:space="preserve">Михайлов Иван Сергеевич</t>
  </si>
  <si>
    <t xml:space="preserve">Соколова Валентина Петровна</t>
  </si>
  <si>
    <t xml:space="preserve">Семёнов Николай Викторович</t>
  </si>
  <si>
    <t xml:space="preserve">Морозов Виктор Сергеевич</t>
  </si>
  <si>
    <t xml:space="preserve">Морозова Елена Ивановна</t>
  </si>
  <si>
    <t xml:space="preserve">Иванова Ольга Викторовна</t>
  </si>
  <si>
    <t xml:space="preserve">Смирнов Юрий Борисович</t>
  </si>
  <si>
    <t xml:space="preserve">Лебедев Юрий Викторович</t>
  </si>
  <si>
    <t xml:space="preserve">Морозова Галина Ивановна</t>
  </si>
  <si>
    <t xml:space="preserve">Петрова Нина Борисовна</t>
  </si>
  <si>
    <t xml:space="preserve">Новиков Пётр Михайлович</t>
  </si>
  <si>
    <t xml:space="preserve">Соколова Ольга Алексеевна</t>
  </si>
  <si>
    <t xml:space="preserve">Петрова Валентина Владимировна</t>
  </si>
  <si>
    <t xml:space="preserve">Петрова Нина Алексеевна</t>
  </si>
  <si>
    <t xml:space="preserve">Кузнецов Юрий Михайлович</t>
  </si>
  <si>
    <t xml:space="preserve">Алексеев Юрий Алексеевич</t>
  </si>
  <si>
    <t xml:space="preserve">Васильева Ольга Михайловна</t>
  </si>
  <si>
    <t xml:space="preserve">Васильев Сергей Борисович</t>
  </si>
  <si>
    <t xml:space="preserve">Алексеева Елена Сергеевна</t>
  </si>
  <si>
    <t xml:space="preserve">Иванов Алексей Владимирович</t>
  </si>
  <si>
    <t xml:space="preserve">Васильев Владимир Михайлович</t>
  </si>
  <si>
    <t xml:space="preserve">Михайлова Елена Михайловна</t>
  </si>
  <si>
    <t xml:space="preserve">Фёдоров Иван Владимирович</t>
  </si>
  <si>
    <t xml:space="preserve">Петров Виктор Сергеевич</t>
  </si>
  <si>
    <t xml:space="preserve">Васильев Пётр Викторович</t>
  </si>
  <si>
    <t xml:space="preserve">Волков Николай Николаевич</t>
  </si>
  <si>
    <t xml:space="preserve">Михайлов Николай Борисович</t>
  </si>
  <si>
    <t xml:space="preserve">Новикова Ольга Ивановна</t>
  </si>
  <si>
    <t xml:space="preserve">Волкова Ольга Викторовна</t>
  </si>
  <si>
    <t xml:space="preserve">Попова Людмила Сергеевна</t>
  </si>
  <si>
    <t xml:space="preserve">Смирнова Анна Михайловна</t>
  </si>
  <si>
    <t xml:space="preserve">Новиков Виктор Юрьевич</t>
  </si>
  <si>
    <t xml:space="preserve">Иванов Владимир Николаевич</t>
  </si>
  <si>
    <t xml:space="preserve">Фёдорова Мария Юрьевна</t>
  </si>
  <si>
    <t xml:space="preserve">Новиков Владимир Петрович</t>
  </si>
  <si>
    <t xml:space="preserve">Алексеева Мария Юрьевна</t>
  </si>
  <si>
    <t xml:space="preserve">Семёнов Пётр Владимирович</t>
  </si>
  <si>
    <t xml:space="preserve">Кузнецов Алексей Владимирович</t>
  </si>
  <si>
    <t xml:space="preserve">Кузнецова Людмила Алексеевна</t>
  </si>
  <si>
    <t xml:space="preserve">Соколова Валентина Михайловна</t>
  </si>
  <si>
    <t xml:space="preserve">Кузнецова Татьяна Петровна</t>
  </si>
  <si>
    <t xml:space="preserve">Смирнов Алексей Николаевич</t>
  </si>
  <si>
    <t xml:space="preserve">Соколов Владимир Николаевич</t>
  </si>
  <si>
    <t xml:space="preserve">Новикова Галина Михайловна</t>
  </si>
  <si>
    <t xml:space="preserve">Номер человека</t>
  </si>
  <si>
    <t xml:space="preserve">Дата захоронения</t>
  </si>
  <si>
    <t xml:space="preserve">Возраст</t>
  </si>
  <si>
    <t xml:space="preserve">Год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</si>
</sst>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f aca="false">COUNT(Участки!A:A)</f>
        <v>48</v>
      </c>
    </row>
    <row r="3" customFormat="false" ht="15" hidden="false" customHeight="false" outlineLevel="0" collapsed="false">
      <c r="A3" s="0" t="s">
        <v>3</v>
      </c>
      <c r="B3" s="0" t="n">
        <f aca="false">COUNTIF(Участки!E:E,"Занят")</f>
        <v>30</v>
      </c>
    </row>
    <row r="4" customFormat="false" ht="15" hidden="false" customHeight="false" outlineLevel="0" collapsed="false">
      <c r="A4" s="0" t="s">
        <v>4</v>
      </c>
      <c r="B4" s="0" t="n">
        <f aca="false">B2-B3</f>
        <v>18</v>
      </c>
    </row>
    <row r="5" customFormat="false" ht="15" hidden="false" customHeight="false" outlineLevel="0" collapsed="false">
      <c r="A5" s="0" t="s">
        <v>5</v>
      </c>
      <c r="B5" s="0" t="n">
        <f aca="false">ROUND(B3/B2*100,1)</f>
        <v>62.5</v>
      </c>
    </row>
    <row r="6" customFormat="false" ht="15" hidden="false" customHeight="false" outlineLevel="0" collapsed="false">
      <c r="A6" s="0" t="s">
        <v>6</v>
      </c>
      <c r="B6" s="0" t="n">
        <f aca="false">ROUND(AVERAGE(Захоронения!E:E),1)</f>
        <v>78.2</v>
      </c>
    </row>
    <row r="7" customFormat="false" ht="15" hidden="false" customHeight="false" outlineLevel="0" collapsed="false">
      <c r="A7" s="0" t="s">
        <v>7</v>
      </c>
      <c r="B7" s="0" t="n">
        <f aca="false">MIN(Захоронения!E:E)</f>
        <v>62</v>
      </c>
    </row>
    <row r="8" customFormat="false" ht="15" hidden="false" customHeight="false" outlineLevel="0" collapsed="false">
      <c r="A8" s="0" t="s">
        <v>8</v>
      </c>
      <c r="B8" s="0" t="n">
        <f aca="false">MAX(Захоронения!E:E)</f>
        <v>96</v>
      </c>
    </row>
    <row r="9" customFormat="false" ht="15" hidden="false" customHeight="false" outlineLevel="0" collapsed="false">
      <c r="A9" s="0" t="s">
        <v>9</v>
      </c>
      <c r="B9" s="0" t="n">
        <f aca="false">DATEDIF(MIN(Захоронения!C:C),MAX(Захоронения!C:C),"M")+1</f>
        <v>22</v>
      </c>
    </row>
    <row r="10" customFormat="false" ht="15" hidden="false" customHeight="false" outlineLevel="0" collapsed="false">
      <c r="A10" s="0" t="s">
        <v>10</v>
      </c>
      <c r="B10" s="0" t="n">
        <f aca="false">ROUND(B3/B9,2)</f>
        <v>1.36</v>
      </c>
    </row>
    <row r="11" customFormat="false" ht="15" hidden="false" customHeight="false" outlineLevel="0" collapsed="false">
      <c r="A11" s="0" t="s">
        <v>11</v>
      </c>
      <c r="B11" s="0" t="n">
        <f aca="false">IF(B10=0,"нет данных",ROUND(B4/B10,0))</f>
        <v>13</v>
      </c>
    </row>
    <row r="12" customFormat="false" ht="15" hidden="false" customHeight="false" outlineLevel="0" collapsed="false">
      <c r="A12" s="0" t="s">
        <v>12</v>
      </c>
      <c r="B12" s="0" t="n">
        <f aca="false">COUNTIFS(Участки!B:B,"Северное",Участки!E:E,"Занят")</f>
        <v>18</v>
      </c>
    </row>
    <row r="13" customFormat="false" ht="15" hidden="false" customHeight="false" outlineLevel="0" collapsed="false">
      <c r="A13" s="0" t="s">
        <v>13</v>
      </c>
      <c r="B13" s="0" t="n">
        <f aca="false">COUNTIFS(Участки!B:B,"Южное",Участки!E:E,"Занят")</f>
        <v>12</v>
      </c>
    </row>
    <row r="14" customFormat="false" ht="15" hidden="false" customHeight="false" outlineLevel="0" collapsed="false">
      <c r="A14" s="0" t="s">
        <v>14</v>
      </c>
      <c r="B14" s="0" t="n">
        <f aca="false">COUNTIF(Захоронения!F:F,2024)</f>
        <v>15</v>
      </c>
    </row>
    <row r="15" customFormat="false" ht="15" hidden="false" customHeight="false" outlineLevel="0" collapsed="false">
      <c r="A15" s="0" t="s">
        <v>15</v>
      </c>
      <c r="B15" s="0" t="n">
        <f aca="false">COUNTIF(Захоронения!F:F,2025)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</row>
    <row r="2" customFormat="false" ht="15" hidden="false" customHeight="false" outlineLevel="0" collapsed="false">
      <c r="A2" s="0" t="n">
        <v>1</v>
      </c>
      <c r="B2" s="0" t="s">
        <v>21</v>
      </c>
      <c r="C2" s="0" t="s">
        <v>22</v>
      </c>
      <c r="D2" s="0" t="n">
        <v>1</v>
      </c>
      <c r="E2" s="0" t="str">
        <f aca="false">IF(COUNTIF(Захоронения!A:A,A2)&gt;0,"Занят","Свободен")</f>
        <v>Занят</v>
      </c>
    </row>
    <row r="3" customFormat="false" ht="15" hidden="false" customHeight="false" outlineLevel="0" collapsed="false">
      <c r="A3" s="0" t="n">
        <v>2</v>
      </c>
      <c r="B3" s="0" t="s">
        <v>21</v>
      </c>
      <c r="C3" s="0" t="s">
        <v>22</v>
      </c>
      <c r="D3" s="0" t="n">
        <v>2</v>
      </c>
      <c r="E3" s="0" t="str">
        <f aca="false">IF(COUNTIF(Захоронения!A:A,A3)&gt;0,"Занят","Свободен")</f>
        <v>Занят</v>
      </c>
    </row>
    <row r="4" customFormat="false" ht="15" hidden="false" customHeight="false" outlineLevel="0" collapsed="false">
      <c r="A4" s="0" t="n">
        <v>3</v>
      </c>
      <c r="B4" s="0" t="s">
        <v>21</v>
      </c>
      <c r="C4" s="0" t="s">
        <v>22</v>
      </c>
      <c r="D4" s="0" t="n">
        <v>3</v>
      </c>
      <c r="E4" s="0" t="str">
        <f aca="false">IF(COUNTIF(Захоронения!A:A,A4)&gt;0,"Занят","Свободен")</f>
        <v>Занят</v>
      </c>
    </row>
    <row r="5" customFormat="false" ht="15" hidden="false" customHeight="false" outlineLevel="0" collapsed="false">
      <c r="A5" s="0" t="n">
        <v>4</v>
      </c>
      <c r="B5" s="0" t="s">
        <v>21</v>
      </c>
      <c r="C5" s="0" t="s">
        <v>22</v>
      </c>
      <c r="D5" s="0" t="n">
        <v>4</v>
      </c>
      <c r="E5" s="0" t="str">
        <f aca="false">IF(COUNTIF(Захоронения!A:A,A5)&gt;0,"Занят","Свободен")</f>
        <v>Свободен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s">
        <v>22</v>
      </c>
      <c r="D6" s="0" t="n">
        <v>5</v>
      </c>
      <c r="E6" s="0" t="str">
        <f aca="false">IF(COUNTIF(Захоронения!A:A,A6)&gt;0,"Занят","Свободен")</f>
        <v>Занят</v>
      </c>
    </row>
    <row r="7" customFormat="false" ht="15" hidden="false" customHeight="false" outlineLevel="0" collapsed="false">
      <c r="A7" s="0" t="n">
        <v>6</v>
      </c>
      <c r="B7" s="0" t="s">
        <v>21</v>
      </c>
      <c r="C7" s="0" t="s">
        <v>22</v>
      </c>
      <c r="D7" s="0" t="n">
        <v>6</v>
      </c>
      <c r="E7" s="0" t="str">
        <f aca="false">IF(COUNTIF(Захоронения!A:A,A7)&gt;0,"Занят","Свободен")</f>
        <v>Занят</v>
      </c>
    </row>
    <row r="8" customFormat="false" ht="15" hidden="false" customHeight="false" outlineLevel="0" collapsed="false">
      <c r="A8" s="0" t="n">
        <v>7</v>
      </c>
      <c r="B8" s="0" t="s">
        <v>21</v>
      </c>
      <c r="C8" s="0" t="s">
        <v>22</v>
      </c>
      <c r="D8" s="0" t="n">
        <v>7</v>
      </c>
      <c r="E8" s="0" t="str">
        <f aca="false">IF(COUNTIF(Захоронения!A:A,A8)&gt;0,"Занят","Свободен")</f>
        <v>Занят</v>
      </c>
    </row>
    <row r="9" customFormat="false" ht="15" hidden="false" customHeight="false" outlineLevel="0" collapsed="false">
      <c r="A9" s="0" t="n">
        <v>8</v>
      </c>
      <c r="B9" s="0" t="s">
        <v>21</v>
      </c>
      <c r="C9" s="0" t="s">
        <v>22</v>
      </c>
      <c r="D9" s="0" t="n">
        <v>8</v>
      </c>
      <c r="E9" s="0" t="str">
        <f aca="false">IF(COUNTIF(Захоронения!A:A,A9)&gt;0,"Занят","Свободен")</f>
        <v>Свободен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s">
        <v>22</v>
      </c>
      <c r="D10" s="0" t="n">
        <v>9</v>
      </c>
      <c r="E10" s="0" t="str">
        <f aca="false">IF(COUNTIF(Захоронения!A:A,A10)&gt;0,"Занят","Свободен")</f>
        <v>Занят</v>
      </c>
    </row>
    <row r="11" customFormat="false" ht="15" hidden="false" customHeight="false" outlineLevel="0" collapsed="false">
      <c r="A11" s="0" t="n">
        <v>10</v>
      </c>
      <c r="B11" s="0" t="s">
        <v>21</v>
      </c>
      <c r="C11" s="0" t="s">
        <v>22</v>
      </c>
      <c r="D11" s="0" t="n">
        <v>10</v>
      </c>
      <c r="E11" s="0" t="str">
        <f aca="false">IF(COUNTIF(Захоронения!A:A,A11)&gt;0,"Занят","Свободен")</f>
        <v>Занят</v>
      </c>
    </row>
    <row r="12" customFormat="false" ht="15" hidden="false" customHeight="false" outlineLevel="0" collapsed="false">
      <c r="A12" s="0" t="n">
        <v>11</v>
      </c>
      <c r="B12" s="0" t="s">
        <v>21</v>
      </c>
      <c r="C12" s="0" t="s">
        <v>22</v>
      </c>
      <c r="D12" s="0" t="n">
        <v>11</v>
      </c>
      <c r="E12" s="0" t="str">
        <f aca="false">IF(COUNTIF(Захоронения!A:A,A12)&gt;0,"Занят","Свободен")</f>
        <v>Свободен</v>
      </c>
    </row>
    <row r="13" customFormat="false" ht="15" hidden="false" customHeight="false" outlineLevel="0" collapsed="false">
      <c r="A13" s="0" t="n">
        <v>12</v>
      </c>
      <c r="B13" s="0" t="s">
        <v>21</v>
      </c>
      <c r="C13" s="0" t="s">
        <v>22</v>
      </c>
      <c r="D13" s="0" t="n">
        <v>12</v>
      </c>
      <c r="E13" s="0" t="str">
        <f aca="false">IF(COUNTIF(Захоронения!A:A,A13)&gt;0,"Занят","Свободен")</f>
        <v>Занят</v>
      </c>
    </row>
    <row r="14" customFormat="false" ht="15" hidden="false" customHeight="false" outlineLevel="0" collapsed="false">
      <c r="A14" s="0" t="n">
        <v>13</v>
      </c>
      <c r="B14" s="0" t="s">
        <v>21</v>
      </c>
      <c r="C14" s="0" t="s">
        <v>23</v>
      </c>
      <c r="D14" s="0" t="n">
        <v>1</v>
      </c>
      <c r="E14" s="0" t="str">
        <f aca="false">IF(COUNTIF(Захоронения!A:A,A14)&gt;0,"Занят","Свободен")</f>
        <v>Занят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23</v>
      </c>
      <c r="D15" s="0" t="n">
        <v>2</v>
      </c>
      <c r="E15" s="0" t="str">
        <f aca="false">IF(COUNTIF(Захоронения!A:A,A15)&gt;0,"Занят","Свободен")</f>
        <v>Занят</v>
      </c>
    </row>
    <row r="16" customFormat="false" ht="15" hidden="false" customHeight="false" outlineLevel="0" collapsed="false">
      <c r="A16" s="0" t="n">
        <v>15</v>
      </c>
      <c r="B16" s="0" t="s">
        <v>21</v>
      </c>
      <c r="C16" s="0" t="s">
        <v>23</v>
      </c>
      <c r="D16" s="0" t="n">
        <v>3</v>
      </c>
      <c r="E16" s="0" t="str">
        <f aca="false">IF(COUNTIF(Захоронения!A:A,A16)&gt;0,"Занят","Свободен")</f>
        <v>Свободен</v>
      </c>
    </row>
    <row r="17" customFormat="false" ht="15" hidden="false" customHeight="false" outlineLevel="0" collapsed="false">
      <c r="A17" s="0" t="n">
        <v>16</v>
      </c>
      <c r="B17" s="0" t="s">
        <v>21</v>
      </c>
      <c r="C17" s="0" t="s">
        <v>23</v>
      </c>
      <c r="D17" s="0" t="n">
        <v>4</v>
      </c>
      <c r="E17" s="0" t="str">
        <f aca="false">IF(COUNTIF(Захоронения!A:A,A17)&gt;0,"Занят","Свободен")</f>
        <v>Занят</v>
      </c>
    </row>
    <row r="18" customFormat="false" ht="15" hidden="false" customHeight="false" outlineLevel="0" collapsed="false">
      <c r="A18" s="0" t="n">
        <v>17</v>
      </c>
      <c r="B18" s="0" t="s">
        <v>21</v>
      </c>
      <c r="C18" s="0" t="s">
        <v>23</v>
      </c>
      <c r="D18" s="0" t="n">
        <v>5</v>
      </c>
      <c r="E18" s="0" t="str">
        <f aca="false">IF(COUNTIF(Захоронения!A:A,A18)&gt;0,"Занят","Свободен")</f>
        <v>Занят</v>
      </c>
    </row>
    <row r="19" customFormat="false" ht="15" hidden="false" customHeight="false" outlineLevel="0" collapsed="false">
      <c r="A19" s="0" t="n">
        <v>18</v>
      </c>
      <c r="B19" s="0" t="s">
        <v>21</v>
      </c>
      <c r="C19" s="0" t="s">
        <v>23</v>
      </c>
      <c r="D19" s="0" t="n">
        <v>6</v>
      </c>
      <c r="E19" s="0" t="str">
        <f aca="false">IF(COUNTIF(Захоронения!A:A,A19)&gt;0,"Занят","Свободен")</f>
        <v>Занят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s">
        <v>23</v>
      </c>
      <c r="D20" s="0" t="n">
        <v>7</v>
      </c>
      <c r="E20" s="0" t="str">
        <f aca="false">IF(COUNTIF(Захоронения!A:A,A20)&gt;0,"Занят","Свободен")</f>
        <v>Занят</v>
      </c>
    </row>
    <row r="21" customFormat="false" ht="15" hidden="false" customHeight="false" outlineLevel="0" collapsed="false">
      <c r="A21" s="0" t="n">
        <v>20</v>
      </c>
      <c r="B21" s="0" t="s">
        <v>21</v>
      </c>
      <c r="C21" s="0" t="s">
        <v>23</v>
      </c>
      <c r="D21" s="0" t="n">
        <v>8</v>
      </c>
      <c r="E21" s="0" t="str">
        <f aca="false">IF(COUNTIF(Захоронения!A:A,A21)&gt;0,"Занят","Свободен")</f>
        <v>Занят</v>
      </c>
    </row>
    <row r="22" customFormat="false" ht="15" hidden="false" customHeight="false" outlineLevel="0" collapsed="false">
      <c r="A22" s="0" t="n">
        <v>21</v>
      </c>
      <c r="B22" s="0" t="s">
        <v>21</v>
      </c>
      <c r="C22" s="0" t="s">
        <v>23</v>
      </c>
      <c r="D22" s="0" t="n">
        <v>9</v>
      </c>
      <c r="E22" s="0" t="str">
        <f aca="false">IF(COUNTIF(Захоронения!A:A,A22)&gt;0,"Занят","Свободен")</f>
        <v>Свободен</v>
      </c>
    </row>
    <row r="23" customFormat="false" ht="15" hidden="false" customHeight="false" outlineLevel="0" collapsed="false">
      <c r="A23" s="0" t="n">
        <v>22</v>
      </c>
      <c r="B23" s="0" t="s">
        <v>21</v>
      </c>
      <c r="C23" s="0" t="s">
        <v>23</v>
      </c>
      <c r="D23" s="0" t="n">
        <v>10</v>
      </c>
      <c r="E23" s="0" t="str">
        <f aca="false">IF(COUNTIF(Захоронения!A:A,A23)&gt;0,"Занят","Свободен")</f>
        <v>Занят</v>
      </c>
    </row>
    <row r="24" customFormat="false" ht="15" hidden="false" customHeight="false" outlineLevel="0" collapsed="false">
      <c r="A24" s="0" t="n">
        <v>23</v>
      </c>
      <c r="B24" s="0" t="s">
        <v>21</v>
      </c>
      <c r="C24" s="0" t="s">
        <v>23</v>
      </c>
      <c r="D24" s="0" t="n">
        <v>11</v>
      </c>
      <c r="E24" s="0" t="str">
        <f aca="false">IF(COUNTIF(Захоронения!A:A,A24)&gt;0,"Занят","Свободен")</f>
        <v>Свободен</v>
      </c>
    </row>
    <row r="25" customFormat="false" ht="15" hidden="false" customHeight="false" outlineLevel="0" collapsed="false">
      <c r="A25" s="0" t="n">
        <v>24</v>
      </c>
      <c r="B25" s="0" t="s">
        <v>21</v>
      </c>
      <c r="C25" s="0" t="s">
        <v>23</v>
      </c>
      <c r="D25" s="0" t="n">
        <v>12</v>
      </c>
      <c r="E25" s="0" t="str">
        <f aca="false">IF(COUNTIF(Захоронения!A:A,A25)&gt;0,"Занят","Свободен")</f>
        <v>Занят</v>
      </c>
    </row>
    <row r="26" customFormat="false" ht="15" hidden="false" customHeight="false" outlineLevel="0" collapsed="false">
      <c r="A26" s="0" t="n">
        <v>25</v>
      </c>
      <c r="B26" s="0" t="s">
        <v>24</v>
      </c>
      <c r="C26" s="0" t="s">
        <v>22</v>
      </c>
      <c r="D26" s="0" t="n">
        <v>1</v>
      </c>
      <c r="E26" s="0" t="str">
        <f aca="false">IF(COUNTIF(Захоронения!A:A,A26)&gt;0,"Занят","Свободен")</f>
        <v>Занят</v>
      </c>
    </row>
    <row r="27" customFormat="false" ht="15" hidden="false" customHeight="false" outlineLevel="0" collapsed="false">
      <c r="A27" s="0" t="n">
        <v>26</v>
      </c>
      <c r="B27" s="0" t="s">
        <v>24</v>
      </c>
      <c r="C27" s="0" t="s">
        <v>22</v>
      </c>
      <c r="D27" s="0" t="n">
        <v>2</v>
      </c>
      <c r="E27" s="0" t="str">
        <f aca="false">IF(COUNTIF(Захоронения!A:A,A27)&gt;0,"Занят","Свободен")</f>
        <v>Свободен</v>
      </c>
    </row>
    <row r="28" customFormat="false" ht="15" hidden="false" customHeight="false" outlineLevel="0" collapsed="false">
      <c r="A28" s="0" t="n">
        <v>27</v>
      </c>
      <c r="B28" s="0" t="s">
        <v>24</v>
      </c>
      <c r="C28" s="0" t="s">
        <v>22</v>
      </c>
      <c r="D28" s="0" t="n">
        <v>3</v>
      </c>
      <c r="E28" s="0" t="str">
        <f aca="false">IF(COUNTIF(Захоронения!A:A,A28)&gt;0,"Занят","Свободен")</f>
        <v>Занят</v>
      </c>
    </row>
    <row r="29" customFormat="false" ht="15" hidden="false" customHeight="false" outlineLevel="0" collapsed="false">
      <c r="A29" s="0" t="n">
        <v>28</v>
      </c>
      <c r="B29" s="0" t="s">
        <v>24</v>
      </c>
      <c r="C29" s="0" t="s">
        <v>22</v>
      </c>
      <c r="D29" s="0" t="n">
        <v>4</v>
      </c>
      <c r="E29" s="0" t="str">
        <f aca="false">IF(COUNTIF(Захоронения!A:A,A29)&gt;0,"Занят","Свободен")</f>
        <v>Занят</v>
      </c>
    </row>
    <row r="30" customFormat="false" ht="15" hidden="false" customHeight="false" outlineLevel="0" collapsed="false">
      <c r="A30" s="0" t="n">
        <v>29</v>
      </c>
      <c r="B30" s="0" t="s">
        <v>24</v>
      </c>
      <c r="C30" s="0" t="s">
        <v>22</v>
      </c>
      <c r="D30" s="0" t="n">
        <v>5</v>
      </c>
      <c r="E30" s="0" t="str">
        <f aca="false">IF(COUNTIF(Захоронения!A:A,A30)&gt;0,"Занят","Свободен")</f>
        <v>Свободен</v>
      </c>
    </row>
    <row r="31" customFormat="false" ht="15" hidden="false" customHeight="false" outlineLevel="0" collapsed="false">
      <c r="A31" s="0" t="n">
        <v>30</v>
      </c>
      <c r="B31" s="0" t="s">
        <v>24</v>
      </c>
      <c r="C31" s="0" t="s">
        <v>22</v>
      </c>
      <c r="D31" s="0" t="n">
        <v>6</v>
      </c>
      <c r="E31" s="0" t="str">
        <f aca="false">IF(COUNTIF(Захоронения!A:A,A31)&gt;0,"Занят","Свободен")</f>
        <v>Занят</v>
      </c>
    </row>
    <row r="32" customFormat="false" ht="15" hidden="false" customHeight="false" outlineLevel="0" collapsed="false">
      <c r="A32" s="0" t="n">
        <v>31</v>
      </c>
      <c r="B32" s="0" t="s">
        <v>24</v>
      </c>
      <c r="C32" s="0" t="s">
        <v>22</v>
      </c>
      <c r="D32" s="0" t="n">
        <v>7</v>
      </c>
      <c r="E32" s="0" t="str">
        <f aca="false">IF(COUNTIF(Захоронения!A:A,A32)&gt;0,"Занят","Свободен")</f>
        <v>Свободен</v>
      </c>
    </row>
    <row r="33" customFormat="false" ht="15" hidden="false" customHeight="false" outlineLevel="0" collapsed="false">
      <c r="A33" s="0" t="n">
        <v>32</v>
      </c>
      <c r="B33" s="0" t="s">
        <v>24</v>
      </c>
      <c r="C33" s="0" t="s">
        <v>22</v>
      </c>
      <c r="D33" s="0" t="n">
        <v>8</v>
      </c>
      <c r="E33" s="0" t="str">
        <f aca="false">IF(COUNTIF(Захоронения!A:A,A33)&gt;0,"Занят","Свободен")</f>
        <v>Занят</v>
      </c>
    </row>
    <row r="34" customFormat="false" ht="15" hidden="false" customHeight="false" outlineLevel="0" collapsed="false">
      <c r="A34" s="0" t="n">
        <v>33</v>
      </c>
      <c r="B34" s="0" t="s">
        <v>24</v>
      </c>
      <c r="C34" s="0" t="s">
        <v>22</v>
      </c>
      <c r="D34" s="0" t="n">
        <v>9</v>
      </c>
      <c r="E34" s="0" t="str">
        <f aca="false">IF(COUNTIF(Захоронения!A:A,A34)&gt;0,"Занят","Свободен")</f>
        <v>Занят</v>
      </c>
    </row>
    <row r="35" customFormat="false" ht="15" hidden="false" customHeight="false" outlineLevel="0" collapsed="false">
      <c r="A35" s="0" t="n">
        <v>34</v>
      </c>
      <c r="B35" s="0" t="s">
        <v>24</v>
      </c>
      <c r="C35" s="0" t="s">
        <v>22</v>
      </c>
      <c r="D35" s="0" t="n">
        <v>10</v>
      </c>
      <c r="E35" s="0" t="str">
        <f aca="false">IF(COUNTIF(Захоронения!A:A,A35)&gt;0,"Занят","Свободен")</f>
        <v>Свободен</v>
      </c>
    </row>
    <row r="36" customFormat="false" ht="15" hidden="false" customHeight="false" outlineLevel="0" collapsed="false">
      <c r="A36" s="0" t="n">
        <v>35</v>
      </c>
      <c r="B36" s="0" t="s">
        <v>24</v>
      </c>
      <c r="C36" s="0" t="s">
        <v>22</v>
      </c>
      <c r="D36" s="0" t="n">
        <v>11</v>
      </c>
      <c r="E36" s="0" t="str">
        <f aca="false">IF(COUNTIF(Захоронения!A:A,A36)&gt;0,"Занят","Свободен")</f>
        <v>Свободен</v>
      </c>
    </row>
    <row r="37" customFormat="false" ht="15" hidden="false" customHeight="false" outlineLevel="0" collapsed="false">
      <c r="A37" s="0" t="n">
        <v>36</v>
      </c>
      <c r="B37" s="0" t="s">
        <v>24</v>
      </c>
      <c r="C37" s="0" t="s">
        <v>22</v>
      </c>
      <c r="D37" s="0" t="n">
        <v>12</v>
      </c>
      <c r="E37" s="0" t="str">
        <f aca="false">IF(COUNTIF(Захоронения!A:A,A37)&gt;0,"Занят","Свободен")</f>
        <v>Свободен</v>
      </c>
    </row>
    <row r="38" customFormat="false" ht="15" hidden="false" customHeight="false" outlineLevel="0" collapsed="false">
      <c r="A38" s="0" t="n">
        <v>37</v>
      </c>
      <c r="B38" s="0" t="s">
        <v>24</v>
      </c>
      <c r="C38" s="0" t="s">
        <v>23</v>
      </c>
      <c r="D38" s="0" t="n">
        <v>1</v>
      </c>
      <c r="E38" s="0" t="str">
        <f aca="false">IF(COUNTIF(Захоронения!A:A,A38)&gt;0,"Занят","Свободен")</f>
        <v>Свободен</v>
      </c>
    </row>
    <row r="39" customFormat="false" ht="15" hidden="false" customHeight="false" outlineLevel="0" collapsed="false">
      <c r="A39" s="0" t="n">
        <v>38</v>
      </c>
      <c r="B39" s="0" t="s">
        <v>24</v>
      </c>
      <c r="C39" s="0" t="s">
        <v>23</v>
      </c>
      <c r="D39" s="0" t="n">
        <v>2</v>
      </c>
      <c r="E39" s="0" t="str">
        <f aca="false">IF(COUNTIF(Захоронения!A:A,A39)&gt;0,"Занят","Свободен")</f>
        <v>Свободен</v>
      </c>
    </row>
    <row r="40" customFormat="false" ht="15" hidden="false" customHeight="false" outlineLevel="0" collapsed="false">
      <c r="A40" s="0" t="n">
        <v>39</v>
      </c>
      <c r="B40" s="0" t="s">
        <v>24</v>
      </c>
      <c r="C40" s="0" t="s">
        <v>23</v>
      </c>
      <c r="D40" s="0" t="n">
        <v>3</v>
      </c>
      <c r="E40" s="0" t="str">
        <f aca="false">IF(COUNTIF(Захоронения!A:A,A40)&gt;0,"Занят","Свободен")</f>
        <v>Свободен</v>
      </c>
    </row>
    <row r="41" customFormat="false" ht="15" hidden="false" customHeight="false" outlineLevel="0" collapsed="false">
      <c r="A41" s="0" t="n">
        <v>40</v>
      </c>
      <c r="B41" s="0" t="s">
        <v>24</v>
      </c>
      <c r="C41" s="0" t="s">
        <v>23</v>
      </c>
      <c r="D41" s="0" t="n">
        <v>4</v>
      </c>
      <c r="E41" s="0" t="str">
        <f aca="false">IF(COUNTIF(Захоронения!A:A,A41)&gt;0,"Занят","Свободен")</f>
        <v>Свободен</v>
      </c>
    </row>
    <row r="42" customFormat="false" ht="15" hidden="false" customHeight="false" outlineLevel="0" collapsed="false">
      <c r="A42" s="0" t="n">
        <v>41</v>
      </c>
      <c r="B42" s="0" t="s">
        <v>24</v>
      </c>
      <c r="C42" s="0" t="s">
        <v>23</v>
      </c>
      <c r="D42" s="0" t="n">
        <v>5</v>
      </c>
      <c r="E42" s="0" t="str">
        <f aca="false">IF(COUNTIF(Захоронения!A:A,A42)&gt;0,"Занят","Свободен")</f>
        <v>Свободен</v>
      </c>
    </row>
    <row r="43" customFormat="false" ht="15" hidden="false" customHeight="false" outlineLevel="0" collapsed="false">
      <c r="A43" s="0" t="n">
        <v>42</v>
      </c>
      <c r="B43" s="0" t="s">
        <v>24</v>
      </c>
      <c r="C43" s="0" t="s">
        <v>23</v>
      </c>
      <c r="D43" s="0" t="n">
        <v>6</v>
      </c>
      <c r="E43" s="0" t="str">
        <f aca="false">IF(COUNTIF(Захоронения!A:A,A43)&gt;0,"Занят","Свободен")</f>
        <v>Свободен</v>
      </c>
    </row>
    <row r="44" customFormat="false" ht="15" hidden="false" customHeight="false" outlineLevel="0" collapsed="false">
      <c r="A44" s="0" t="n">
        <v>43</v>
      </c>
      <c r="B44" s="0" t="s">
        <v>24</v>
      </c>
      <c r="C44" s="0" t="s">
        <v>23</v>
      </c>
      <c r="D44" s="0" t="n">
        <v>7</v>
      </c>
      <c r="E44" s="0" t="str">
        <f aca="false">IF(COUNTIF(Захоронения!A:A,A44)&gt;0,"Занят","Свободен")</f>
        <v>Занят</v>
      </c>
    </row>
    <row r="45" customFormat="false" ht="15" hidden="false" customHeight="false" outlineLevel="0" collapsed="false">
      <c r="A45" s="0" t="n">
        <v>44</v>
      </c>
      <c r="B45" s="0" t="s">
        <v>24</v>
      </c>
      <c r="C45" s="0" t="s">
        <v>23</v>
      </c>
      <c r="D45" s="0" t="n">
        <v>8</v>
      </c>
      <c r="E45" s="0" t="str">
        <f aca="false">IF(COUNTIF(Захоронения!A:A,A45)&gt;0,"Занят","Свободен")</f>
        <v>Занят</v>
      </c>
    </row>
    <row r="46" customFormat="false" ht="15" hidden="false" customHeight="false" outlineLevel="0" collapsed="false">
      <c r="A46" s="0" t="n">
        <v>45</v>
      </c>
      <c r="B46" s="0" t="s">
        <v>24</v>
      </c>
      <c r="C46" s="0" t="s">
        <v>23</v>
      </c>
      <c r="D46" s="0" t="n">
        <v>9</v>
      </c>
      <c r="E46" s="0" t="str">
        <f aca="false">IF(COUNTIF(Захоронения!A:A,A46)&gt;0,"Занят","Свободен")</f>
        <v>Занят</v>
      </c>
    </row>
    <row r="47" customFormat="false" ht="15" hidden="false" customHeight="false" outlineLevel="0" collapsed="false">
      <c r="A47" s="0" t="n">
        <v>46</v>
      </c>
      <c r="B47" s="0" t="s">
        <v>24</v>
      </c>
      <c r="C47" s="0" t="s">
        <v>23</v>
      </c>
      <c r="D47" s="0" t="n">
        <v>10</v>
      </c>
      <c r="E47" s="0" t="str">
        <f aca="false">IF(COUNTIF(Захоронения!A:A,A47)&gt;0,"Занят","Свободен")</f>
        <v>Занят</v>
      </c>
    </row>
    <row r="48" customFormat="false" ht="15" hidden="false" customHeight="false" outlineLevel="0" collapsed="false">
      <c r="A48" s="0" t="n">
        <v>47</v>
      </c>
      <c r="B48" s="0" t="s">
        <v>24</v>
      </c>
      <c r="C48" s="0" t="s">
        <v>23</v>
      </c>
      <c r="D48" s="0" t="n">
        <v>11</v>
      </c>
      <c r="E48" s="0" t="str">
        <f aca="false">IF(COUNTIF(Захоронения!A:A,A48)&gt;0,"Занят","Свободен")</f>
        <v>Занят</v>
      </c>
    </row>
    <row r="49" customFormat="false" ht="15" hidden="false" customHeight="false" outlineLevel="0" collapsed="false">
      <c r="A49" s="0" t="n">
        <v>48</v>
      </c>
      <c r="B49" s="0" t="s">
        <v>24</v>
      </c>
      <c r="C49" s="0" t="s">
        <v>23</v>
      </c>
      <c r="D49" s="0" t="n">
        <v>12</v>
      </c>
      <c r="E49" s="0" t="str">
        <f aca="false">IF(COUNTIF(Захоронения!A:A,A49)&gt;0,"Занят","Свободен")</f>
        <v>Занят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5"/>
  </cols>
  <sheetData>
    <row r="1" customFormat="false" ht="15" hidden="false" customHeight="false" outlineLevel="0" collapsed="false">
      <c r="A1" s="0" t="s">
        <v>19</v>
      </c>
      <c r="B1" s="0" t="s">
        <v>25</v>
      </c>
      <c r="C1" s="0" t="s">
        <v>26</v>
      </c>
      <c r="D1" s="0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0" t="s">
        <v>29</v>
      </c>
      <c r="D2" s="1" t="n">
        <v>11936</v>
      </c>
    </row>
    <row r="3" customFormat="false" ht="15" hidden="false" customHeight="false" outlineLevel="0" collapsed="false">
      <c r="A3" s="0" t="n">
        <v>2</v>
      </c>
      <c r="B3" s="0" t="s">
        <v>30</v>
      </c>
      <c r="C3" s="0" t="s">
        <v>29</v>
      </c>
      <c r="D3" s="1" t="n">
        <v>11003</v>
      </c>
    </row>
    <row r="4" customFormat="false" ht="15" hidden="false" customHeight="false" outlineLevel="0" collapsed="false">
      <c r="A4" s="0" t="n">
        <v>3</v>
      </c>
      <c r="B4" s="0" t="s">
        <v>31</v>
      </c>
      <c r="C4" s="0" t="s">
        <v>29</v>
      </c>
      <c r="D4" s="1" t="n">
        <v>20116</v>
      </c>
    </row>
    <row r="5" customFormat="false" ht="15" hidden="false" customHeight="false" outlineLevel="0" collapsed="false">
      <c r="A5" s="0" t="n">
        <v>4</v>
      </c>
      <c r="B5" s="0" t="s">
        <v>32</v>
      </c>
      <c r="C5" s="0" t="s">
        <v>33</v>
      </c>
      <c r="D5" s="1" t="n">
        <v>19367</v>
      </c>
    </row>
    <row r="6" customFormat="false" ht="15" hidden="false" customHeight="false" outlineLevel="0" collapsed="false">
      <c r="A6" s="0" t="n">
        <v>5</v>
      </c>
      <c r="B6" s="0" t="s">
        <v>34</v>
      </c>
      <c r="C6" s="0" t="s">
        <v>29</v>
      </c>
      <c r="D6" s="1" t="n">
        <v>19801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29</v>
      </c>
      <c r="D7" s="1" t="n">
        <v>12711</v>
      </c>
    </row>
    <row r="8" customFormat="false" ht="15" hidden="false" customHeight="false" outlineLevel="0" collapsed="false">
      <c r="A8" s="0" t="n">
        <v>7</v>
      </c>
      <c r="B8" s="0" t="s">
        <v>36</v>
      </c>
      <c r="C8" s="0" t="s">
        <v>33</v>
      </c>
      <c r="D8" s="1" t="n">
        <v>11964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33</v>
      </c>
      <c r="D9" s="1" t="n">
        <v>17764</v>
      </c>
    </row>
    <row r="10" customFormat="false" ht="15" hidden="false" customHeight="false" outlineLevel="0" collapsed="false">
      <c r="A10" s="0" t="n">
        <v>9</v>
      </c>
      <c r="B10" s="0" t="s">
        <v>38</v>
      </c>
      <c r="C10" s="0" t="s">
        <v>33</v>
      </c>
      <c r="D10" s="1" t="n">
        <v>14604</v>
      </c>
    </row>
    <row r="11" customFormat="false" ht="15" hidden="false" customHeight="false" outlineLevel="0" collapsed="false">
      <c r="A11" s="0" t="n">
        <v>10</v>
      </c>
      <c r="B11" s="0" t="s">
        <v>39</v>
      </c>
      <c r="C11" s="0" t="s">
        <v>29</v>
      </c>
      <c r="D11" s="1" t="n">
        <v>21725</v>
      </c>
    </row>
    <row r="12" customFormat="false" ht="15" hidden="false" customHeight="false" outlineLevel="0" collapsed="false">
      <c r="A12" s="0" t="n">
        <v>11</v>
      </c>
      <c r="B12" s="0" t="s">
        <v>40</v>
      </c>
      <c r="C12" s="0" t="s">
        <v>29</v>
      </c>
      <c r="D12" s="1" t="n">
        <v>22103</v>
      </c>
    </row>
    <row r="13" customFormat="false" ht="15" hidden="false" customHeight="false" outlineLevel="0" collapsed="false">
      <c r="A13" s="0" t="n">
        <v>12</v>
      </c>
      <c r="B13" s="0" t="s">
        <v>41</v>
      </c>
      <c r="C13" s="0" t="s">
        <v>33</v>
      </c>
      <c r="D13" s="1" t="n">
        <v>11265</v>
      </c>
    </row>
    <row r="14" customFormat="false" ht="15" hidden="false" customHeight="false" outlineLevel="0" collapsed="false">
      <c r="A14" s="0" t="n">
        <v>13</v>
      </c>
      <c r="B14" s="0" t="s">
        <v>42</v>
      </c>
      <c r="C14" s="0" t="s">
        <v>33</v>
      </c>
      <c r="D14" s="1" t="n">
        <v>18552</v>
      </c>
    </row>
    <row r="15" customFormat="false" ht="15" hidden="false" customHeight="false" outlineLevel="0" collapsed="false">
      <c r="A15" s="0" t="n">
        <v>14</v>
      </c>
      <c r="B15" s="0" t="s">
        <v>43</v>
      </c>
      <c r="C15" s="0" t="s">
        <v>33</v>
      </c>
      <c r="D15" s="1" t="n">
        <v>16672</v>
      </c>
    </row>
    <row r="16" customFormat="false" ht="15" hidden="false" customHeight="false" outlineLevel="0" collapsed="false">
      <c r="A16" s="0" t="n">
        <v>15</v>
      </c>
      <c r="B16" s="0" t="s">
        <v>44</v>
      </c>
      <c r="C16" s="0" t="s">
        <v>33</v>
      </c>
      <c r="D16" s="1" t="n">
        <v>20598</v>
      </c>
    </row>
    <row r="17" customFormat="false" ht="15" hidden="false" customHeight="false" outlineLevel="0" collapsed="false">
      <c r="A17" s="0" t="n">
        <v>16</v>
      </c>
      <c r="B17" s="0" t="s">
        <v>45</v>
      </c>
      <c r="C17" s="0" t="s">
        <v>29</v>
      </c>
      <c r="D17" s="1" t="n">
        <v>20977</v>
      </c>
    </row>
    <row r="18" customFormat="false" ht="15" hidden="false" customHeight="false" outlineLevel="0" collapsed="false">
      <c r="A18" s="0" t="n">
        <v>17</v>
      </c>
      <c r="B18" s="0" t="s">
        <v>46</v>
      </c>
      <c r="C18" s="0" t="s">
        <v>33</v>
      </c>
      <c r="D18" s="1" t="n">
        <v>16885</v>
      </c>
    </row>
    <row r="19" customFormat="false" ht="15" hidden="false" customHeight="false" outlineLevel="0" collapsed="false">
      <c r="A19" s="0" t="n">
        <v>18</v>
      </c>
      <c r="B19" s="0" t="s">
        <v>47</v>
      </c>
      <c r="C19" s="0" t="s">
        <v>29</v>
      </c>
      <c r="D19" s="1" t="n">
        <v>14105</v>
      </c>
    </row>
    <row r="20" customFormat="false" ht="15" hidden="false" customHeight="false" outlineLevel="0" collapsed="false">
      <c r="A20" s="0" t="n">
        <v>19</v>
      </c>
      <c r="B20" s="0" t="s">
        <v>48</v>
      </c>
      <c r="C20" s="0" t="s">
        <v>33</v>
      </c>
      <c r="D20" s="1" t="n">
        <v>16785</v>
      </c>
    </row>
    <row r="21" customFormat="false" ht="15" hidden="false" customHeight="false" outlineLevel="0" collapsed="false">
      <c r="A21" s="0" t="n">
        <v>20</v>
      </c>
      <c r="B21" s="0" t="s">
        <v>49</v>
      </c>
      <c r="C21" s="0" t="s">
        <v>33</v>
      </c>
      <c r="D21" s="1" t="n">
        <v>13552</v>
      </c>
    </row>
    <row r="22" customFormat="false" ht="15" hidden="false" customHeight="false" outlineLevel="0" collapsed="false">
      <c r="A22" s="0" t="n">
        <v>21</v>
      </c>
      <c r="B22" s="0" t="s">
        <v>50</v>
      </c>
      <c r="C22" s="0" t="s">
        <v>29</v>
      </c>
      <c r="D22" s="1" t="n">
        <v>21829</v>
      </c>
    </row>
    <row r="23" customFormat="false" ht="15" hidden="false" customHeight="false" outlineLevel="0" collapsed="false">
      <c r="A23" s="0" t="n">
        <v>22</v>
      </c>
      <c r="B23" s="0" t="s">
        <v>51</v>
      </c>
      <c r="C23" s="0" t="s">
        <v>29</v>
      </c>
      <c r="D23" s="1" t="n">
        <v>22817</v>
      </c>
    </row>
    <row r="24" customFormat="false" ht="15" hidden="false" customHeight="false" outlineLevel="0" collapsed="false">
      <c r="A24" s="0" t="n">
        <v>23</v>
      </c>
      <c r="B24" s="0" t="s">
        <v>52</v>
      </c>
      <c r="C24" s="0" t="s">
        <v>33</v>
      </c>
      <c r="D24" s="1" t="n">
        <v>11563</v>
      </c>
    </row>
    <row r="25" customFormat="false" ht="15" hidden="false" customHeight="false" outlineLevel="0" collapsed="false">
      <c r="A25" s="0" t="n">
        <v>24</v>
      </c>
      <c r="B25" s="0" t="s">
        <v>53</v>
      </c>
      <c r="C25" s="0" t="s">
        <v>33</v>
      </c>
      <c r="D25" s="1" t="n">
        <v>19553</v>
      </c>
    </row>
    <row r="26" customFormat="false" ht="15" hidden="false" customHeight="false" outlineLevel="0" collapsed="false">
      <c r="A26" s="0" t="n">
        <v>25</v>
      </c>
      <c r="B26" s="0" t="s">
        <v>54</v>
      </c>
      <c r="C26" s="0" t="s">
        <v>29</v>
      </c>
      <c r="D26" s="1" t="n">
        <v>14648</v>
      </c>
    </row>
    <row r="27" customFormat="false" ht="15" hidden="false" customHeight="false" outlineLevel="0" collapsed="false">
      <c r="A27" s="0" t="n">
        <v>26</v>
      </c>
      <c r="B27" s="0" t="s">
        <v>55</v>
      </c>
      <c r="C27" s="0" t="s">
        <v>29</v>
      </c>
      <c r="D27" s="1" t="n">
        <v>11355</v>
      </c>
    </row>
    <row r="28" customFormat="false" ht="15" hidden="false" customHeight="false" outlineLevel="0" collapsed="false">
      <c r="A28" s="0" t="n">
        <v>27</v>
      </c>
      <c r="B28" s="0" t="s">
        <v>56</v>
      </c>
      <c r="C28" s="0" t="s">
        <v>33</v>
      </c>
      <c r="D28" s="1" t="n">
        <v>10652</v>
      </c>
    </row>
    <row r="29" customFormat="false" ht="15" hidden="false" customHeight="false" outlineLevel="0" collapsed="false">
      <c r="A29" s="0" t="n">
        <v>28</v>
      </c>
      <c r="B29" s="0" t="s">
        <v>57</v>
      </c>
      <c r="C29" s="0" t="s">
        <v>29</v>
      </c>
      <c r="D29" s="1" t="n">
        <v>18548</v>
      </c>
    </row>
    <row r="30" customFormat="false" ht="15" hidden="false" customHeight="false" outlineLevel="0" collapsed="false">
      <c r="A30" s="0" t="n">
        <v>29</v>
      </c>
      <c r="B30" s="0" t="s">
        <v>58</v>
      </c>
      <c r="C30" s="0" t="s">
        <v>29</v>
      </c>
      <c r="D30" s="1" t="n">
        <v>21407</v>
      </c>
    </row>
    <row r="31" customFormat="false" ht="15" hidden="false" customHeight="false" outlineLevel="0" collapsed="false">
      <c r="A31" s="0" t="n">
        <v>30</v>
      </c>
      <c r="B31" s="0" t="s">
        <v>59</v>
      </c>
      <c r="C31" s="0" t="s">
        <v>29</v>
      </c>
      <c r="D31" s="1" t="n">
        <v>21525</v>
      </c>
    </row>
    <row r="32" customFormat="false" ht="15" hidden="false" customHeight="false" outlineLevel="0" collapsed="false">
      <c r="A32" s="0" t="n">
        <v>31</v>
      </c>
      <c r="B32" s="0" t="s">
        <v>60</v>
      </c>
      <c r="C32" s="0" t="s">
        <v>33</v>
      </c>
      <c r="D32" s="1" t="n">
        <v>13867</v>
      </c>
    </row>
    <row r="33" customFormat="false" ht="15" hidden="false" customHeight="false" outlineLevel="0" collapsed="false">
      <c r="A33" s="0" t="n">
        <v>32</v>
      </c>
      <c r="B33" s="0" t="s">
        <v>61</v>
      </c>
      <c r="C33" s="0" t="s">
        <v>33</v>
      </c>
      <c r="D33" s="1" t="n">
        <v>12416</v>
      </c>
    </row>
    <row r="34" customFormat="false" ht="15" hidden="false" customHeight="false" outlineLevel="0" collapsed="false">
      <c r="A34" s="0" t="n">
        <v>33</v>
      </c>
      <c r="B34" s="0" t="s">
        <v>62</v>
      </c>
      <c r="C34" s="0" t="s">
        <v>29</v>
      </c>
      <c r="D34" s="1" t="n">
        <v>15602</v>
      </c>
    </row>
    <row r="35" customFormat="false" ht="15" hidden="false" customHeight="false" outlineLevel="0" collapsed="false">
      <c r="A35" s="0" t="n">
        <v>34</v>
      </c>
      <c r="B35" s="0" t="s">
        <v>63</v>
      </c>
      <c r="C35" s="0" t="s">
        <v>33</v>
      </c>
      <c r="D35" s="1" t="n">
        <v>14728</v>
      </c>
    </row>
    <row r="36" customFormat="false" ht="15" hidden="false" customHeight="false" outlineLevel="0" collapsed="false">
      <c r="A36" s="0" t="n">
        <v>35</v>
      </c>
      <c r="B36" s="0" t="s">
        <v>64</v>
      </c>
      <c r="C36" s="0" t="s">
        <v>29</v>
      </c>
      <c r="D36" s="1" t="n">
        <v>22505</v>
      </c>
    </row>
    <row r="37" customFormat="false" ht="15" hidden="false" customHeight="false" outlineLevel="0" collapsed="false">
      <c r="A37" s="0" t="n">
        <v>36</v>
      </c>
      <c r="B37" s="0" t="s">
        <v>65</v>
      </c>
      <c r="C37" s="0" t="s">
        <v>33</v>
      </c>
      <c r="D37" s="1" t="n">
        <v>16185</v>
      </c>
    </row>
    <row r="38" customFormat="false" ht="15" hidden="false" customHeight="false" outlineLevel="0" collapsed="false">
      <c r="A38" s="0" t="n">
        <v>37</v>
      </c>
      <c r="B38" s="0" t="s">
        <v>66</v>
      </c>
      <c r="C38" s="0" t="s">
        <v>33</v>
      </c>
      <c r="D38" s="1" t="n">
        <v>18667</v>
      </c>
    </row>
    <row r="39" customFormat="false" ht="15" hidden="false" customHeight="false" outlineLevel="0" collapsed="false">
      <c r="A39" s="0" t="n">
        <v>38</v>
      </c>
      <c r="B39" s="0" t="s">
        <v>67</v>
      </c>
      <c r="C39" s="0" t="s">
        <v>29</v>
      </c>
      <c r="D39" s="1" t="n">
        <v>15208</v>
      </c>
    </row>
    <row r="40" customFormat="false" ht="15" hidden="false" customHeight="false" outlineLevel="0" collapsed="false">
      <c r="A40" s="0" t="n">
        <v>39</v>
      </c>
      <c r="B40" s="0" t="s">
        <v>68</v>
      </c>
      <c r="C40" s="0" t="s">
        <v>33</v>
      </c>
      <c r="D40" s="1" t="n">
        <v>18570</v>
      </c>
    </row>
    <row r="41" customFormat="false" ht="15" hidden="false" customHeight="false" outlineLevel="0" collapsed="false">
      <c r="A41" s="0" t="n">
        <v>40</v>
      </c>
      <c r="B41" s="0" t="s">
        <v>69</v>
      </c>
      <c r="C41" s="0" t="s">
        <v>33</v>
      </c>
      <c r="D41" s="1" t="n">
        <v>21258</v>
      </c>
    </row>
    <row r="42" customFormat="false" ht="15" hidden="false" customHeight="false" outlineLevel="0" collapsed="false">
      <c r="A42" s="0" t="n">
        <v>41</v>
      </c>
      <c r="B42" s="0" t="s">
        <v>70</v>
      </c>
      <c r="C42" s="0" t="s">
        <v>33</v>
      </c>
      <c r="D42" s="1" t="n">
        <v>21025</v>
      </c>
    </row>
    <row r="43" customFormat="false" ht="15" hidden="false" customHeight="false" outlineLevel="0" collapsed="false">
      <c r="A43" s="0" t="n">
        <v>42</v>
      </c>
      <c r="B43" s="0" t="s">
        <v>71</v>
      </c>
      <c r="C43" s="0" t="s">
        <v>33</v>
      </c>
      <c r="D43" s="1" t="n">
        <v>13154</v>
      </c>
    </row>
    <row r="44" customFormat="false" ht="15" hidden="false" customHeight="false" outlineLevel="0" collapsed="false">
      <c r="A44" s="0" t="n">
        <v>43</v>
      </c>
      <c r="B44" s="0" t="s">
        <v>72</v>
      </c>
      <c r="C44" s="0" t="s">
        <v>33</v>
      </c>
      <c r="D44" s="1" t="n">
        <v>21501</v>
      </c>
    </row>
    <row r="45" customFormat="false" ht="15" hidden="false" customHeight="false" outlineLevel="0" collapsed="false">
      <c r="A45" s="0" t="n">
        <v>44</v>
      </c>
      <c r="B45" s="0" t="s">
        <v>73</v>
      </c>
      <c r="C45" s="0" t="s">
        <v>29</v>
      </c>
      <c r="D45" s="1" t="n">
        <v>10583</v>
      </c>
    </row>
    <row r="46" customFormat="false" ht="15" hidden="false" customHeight="false" outlineLevel="0" collapsed="false">
      <c r="A46" s="0" t="n">
        <v>45</v>
      </c>
      <c r="B46" s="0" t="s">
        <v>74</v>
      </c>
      <c r="C46" s="0" t="s">
        <v>29</v>
      </c>
      <c r="D46" s="1" t="n">
        <v>14702</v>
      </c>
    </row>
    <row r="47" customFormat="false" ht="15" hidden="false" customHeight="false" outlineLevel="0" collapsed="false">
      <c r="A47" s="0" t="n">
        <v>46</v>
      </c>
      <c r="B47" s="0" t="s">
        <v>75</v>
      </c>
      <c r="C47" s="0" t="s">
        <v>29</v>
      </c>
      <c r="D47" s="1" t="n">
        <v>17671</v>
      </c>
    </row>
    <row r="48" customFormat="false" ht="15" hidden="false" customHeight="false" outlineLevel="0" collapsed="false">
      <c r="A48" s="0" t="n">
        <v>47</v>
      </c>
      <c r="B48" s="0" t="s">
        <v>76</v>
      </c>
      <c r="C48" s="0" t="s">
        <v>29</v>
      </c>
      <c r="D48" s="1" t="n">
        <v>21143</v>
      </c>
    </row>
    <row r="49" customFormat="false" ht="15" hidden="false" customHeight="false" outlineLevel="0" collapsed="false">
      <c r="A49" s="0" t="n">
        <v>48</v>
      </c>
      <c r="B49" s="0" t="s">
        <v>77</v>
      </c>
      <c r="C49" s="0" t="s">
        <v>33</v>
      </c>
      <c r="D49" s="1" t="n">
        <v>13398</v>
      </c>
    </row>
    <row r="50" customFormat="false" ht="15" hidden="false" customHeight="false" outlineLevel="0" collapsed="false">
      <c r="A50" s="0" t="n">
        <v>49</v>
      </c>
      <c r="B50" s="0" t="s">
        <v>78</v>
      </c>
      <c r="C50" s="0" t="s">
        <v>33</v>
      </c>
      <c r="D50" s="1" t="n">
        <v>10293</v>
      </c>
    </row>
    <row r="51" customFormat="false" ht="15" hidden="false" customHeight="false" outlineLevel="0" collapsed="false">
      <c r="A51" s="0" t="n">
        <v>50</v>
      </c>
      <c r="B51" s="0" t="s">
        <v>79</v>
      </c>
      <c r="C51" s="0" t="s">
        <v>29</v>
      </c>
      <c r="D51" s="1" t="n">
        <v>11496</v>
      </c>
    </row>
    <row r="52" customFormat="false" ht="15" hidden="false" customHeight="false" outlineLevel="0" collapsed="false">
      <c r="A52" s="0" t="n">
        <v>51</v>
      </c>
      <c r="B52" s="0" t="s">
        <v>80</v>
      </c>
      <c r="C52" s="0" t="s">
        <v>33</v>
      </c>
      <c r="D52" s="1" t="n">
        <v>11420</v>
      </c>
    </row>
    <row r="53" customFormat="false" ht="15" hidden="false" customHeight="false" outlineLevel="0" collapsed="false">
      <c r="A53" s="0" t="n">
        <v>52</v>
      </c>
      <c r="B53" s="0" t="s">
        <v>81</v>
      </c>
      <c r="D53" s="1" t="n">
        <v>20699</v>
      </c>
    </row>
    <row r="54" customFormat="false" ht="15" hidden="false" customHeight="false" outlineLevel="0" collapsed="false">
      <c r="A54" s="0" t="n">
        <v>53</v>
      </c>
      <c r="B54" s="0" t="s">
        <v>82</v>
      </c>
      <c r="C54" s="0" t="s">
        <v>33</v>
      </c>
      <c r="D54" s="1" t="n">
        <v>17823</v>
      </c>
    </row>
    <row r="55" customFormat="false" ht="15" hidden="false" customHeight="false" outlineLevel="0" collapsed="false">
      <c r="A55" s="0" t="n">
        <v>54</v>
      </c>
      <c r="B55" s="0" t="s">
        <v>83</v>
      </c>
      <c r="C55" s="0" t="s">
        <v>33</v>
      </c>
      <c r="D55" s="1" t="n">
        <v>22185</v>
      </c>
    </row>
    <row r="56" customFormat="false" ht="15" hidden="false" customHeight="false" outlineLevel="0" collapsed="false">
      <c r="A56" s="0" t="n">
        <v>55</v>
      </c>
      <c r="B56" s="0" t="s">
        <v>84</v>
      </c>
      <c r="C56" s="0" t="s">
        <v>29</v>
      </c>
    </row>
    <row r="57" customFormat="false" ht="15" hidden="false" customHeight="false" outlineLevel="0" collapsed="false">
      <c r="A57" s="0" t="n">
        <v>56</v>
      </c>
      <c r="B57" s="0" t="s">
        <v>85</v>
      </c>
      <c r="C57" s="0" t="s">
        <v>29</v>
      </c>
      <c r="D57" s="1" t="n">
        <v>12001</v>
      </c>
    </row>
    <row r="58" customFormat="false" ht="15" hidden="false" customHeight="false" outlineLevel="0" collapsed="false">
      <c r="A58" s="0" t="n">
        <v>57</v>
      </c>
      <c r="B58" s="0" t="s">
        <v>86</v>
      </c>
      <c r="D58" s="1" t="n">
        <v>13870</v>
      </c>
    </row>
    <row r="59" customFormat="false" ht="15" hidden="false" customHeight="false" outlineLevel="0" collapsed="false">
      <c r="A59" s="0" t="n">
        <v>58</v>
      </c>
      <c r="B59" s="0" t="s">
        <v>87</v>
      </c>
      <c r="C59" s="0" t="s">
        <v>33</v>
      </c>
    </row>
    <row r="60" customFormat="false" ht="15" hidden="false" customHeight="false" outlineLevel="0" collapsed="false">
      <c r="A60" s="0" t="n">
        <v>59</v>
      </c>
      <c r="B60" s="0" t="s">
        <v>88</v>
      </c>
      <c r="C60" s="0" t="s">
        <v>33</v>
      </c>
      <c r="D60" s="1" t="n">
        <v>15423</v>
      </c>
    </row>
    <row r="61" customFormat="false" ht="15" hidden="false" customHeight="false" outlineLevel="0" collapsed="false">
      <c r="A61" s="0" t="n">
        <v>60</v>
      </c>
      <c r="B61" s="0" t="s">
        <v>89</v>
      </c>
      <c r="C61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35"/>
  </cols>
  <sheetData>
    <row r="1" customFormat="false" ht="15" hidden="false" customHeight="false" outlineLevel="0" collapsed="false">
      <c r="A1" s="0" t="s">
        <v>16</v>
      </c>
      <c r="B1" s="0" t="s">
        <v>90</v>
      </c>
      <c r="C1" s="0" t="s">
        <v>91</v>
      </c>
      <c r="D1" s="0" t="s">
        <v>25</v>
      </c>
      <c r="E1" s="0" t="s">
        <v>92</v>
      </c>
      <c r="F1" s="0" t="s">
        <v>93</v>
      </c>
    </row>
    <row r="2" customFormat="false" ht="15" hidden="false" customHeight="false" outlineLevel="0" collapsed="false">
      <c r="A2" s="0" t="n">
        <v>12</v>
      </c>
      <c r="B2" s="0" t="n">
        <v>1</v>
      </c>
      <c r="C2" s="1" t="n">
        <v>45302</v>
      </c>
      <c r="D2" s="0" t="str">
        <f aca="false">VLOOKUP(B2,Люди!A:D,2,FALSE())</f>
        <v>Смирнова Галина Ивановна</v>
      </c>
      <c r="E2" s="2" t="n">
        <f aca="false">DATEDIF(VLOOKUP(B2,Люди!A:D,4,FALSE()),C2,"Y")</f>
        <v>91</v>
      </c>
      <c r="F2" s="2" t="n">
        <f aca="false">YEAR(C2)</f>
        <v>2024</v>
      </c>
    </row>
    <row r="3" customFormat="false" ht="15" hidden="false" customHeight="false" outlineLevel="0" collapsed="false">
      <c r="A3" s="0" t="n">
        <v>5</v>
      </c>
      <c r="B3" s="0" t="n">
        <v>2</v>
      </c>
      <c r="C3" s="1" t="n">
        <v>45325</v>
      </c>
      <c r="D3" s="0" t="str">
        <f aca="false">VLOOKUP(B3,Люди!A:D,2,FALSE())</f>
        <v>Иванова Людмила Сергеевна</v>
      </c>
      <c r="E3" s="2" t="n">
        <f aca="false">DATEDIF(VLOOKUP(B3,Люди!A:D,4,FALSE()),C3,"Y")</f>
        <v>93</v>
      </c>
      <c r="F3" s="2" t="n">
        <f aca="false">YEAR(C3)</f>
        <v>2024</v>
      </c>
    </row>
    <row r="4" customFormat="false" ht="15" hidden="false" customHeight="false" outlineLevel="0" collapsed="false">
      <c r="A4" s="0" t="n">
        <v>7</v>
      </c>
      <c r="B4" s="0" t="n">
        <v>3</v>
      </c>
      <c r="C4" s="1" t="n">
        <v>45346</v>
      </c>
      <c r="D4" s="0" t="str">
        <f aca="false">VLOOKUP(B4,Люди!A:D,2,FALSE())</f>
        <v>Кузнецова Мария Юрьевна</v>
      </c>
      <c r="E4" s="2" t="n">
        <f aca="false">DATEDIF(VLOOKUP(B4,Люди!A:D,4,FALSE()),C4,"Y")</f>
        <v>69</v>
      </c>
      <c r="F4" s="2" t="n">
        <f aca="false">YEAR(C4)</f>
        <v>2024</v>
      </c>
    </row>
    <row r="5" customFormat="false" ht="15" hidden="false" customHeight="false" outlineLevel="0" collapsed="false">
      <c r="A5" s="0" t="n">
        <v>22</v>
      </c>
      <c r="B5" s="0" t="n">
        <v>4</v>
      </c>
      <c r="C5" s="1" t="n">
        <v>45363</v>
      </c>
      <c r="D5" s="0" t="str">
        <f aca="false">VLOOKUP(B5,Люди!A:D,2,FALSE())</f>
        <v>Кузнецов Борис Иванович</v>
      </c>
      <c r="E5" s="2" t="n">
        <f aca="false">DATEDIF(VLOOKUP(B5,Люди!A:D,4,FALSE()),C5,"Y")</f>
        <v>71</v>
      </c>
      <c r="F5" s="2" t="n">
        <f aca="false">YEAR(C5)</f>
        <v>2024</v>
      </c>
    </row>
    <row r="6" customFormat="false" ht="15" hidden="false" customHeight="false" outlineLevel="0" collapsed="false">
      <c r="A6" s="0" t="n">
        <v>30</v>
      </c>
      <c r="B6" s="0" t="n">
        <v>5</v>
      </c>
      <c r="C6" s="1" t="n">
        <v>45413</v>
      </c>
      <c r="D6" s="0" t="str">
        <f aca="false">VLOOKUP(B6,Люди!A:D,2,FALSE())</f>
        <v>Лебедева Ольга Алексеевна</v>
      </c>
      <c r="E6" s="2" t="n">
        <f aca="false">DATEDIF(VLOOKUP(B6,Люди!A:D,4,FALSE()),C6,"Y")</f>
        <v>70</v>
      </c>
      <c r="F6" s="2" t="n">
        <f aca="false">YEAR(C6)</f>
        <v>2024</v>
      </c>
    </row>
    <row r="7" customFormat="false" ht="15" hidden="false" customHeight="false" outlineLevel="0" collapsed="false">
      <c r="A7" s="0" t="n">
        <v>32</v>
      </c>
      <c r="B7" s="0" t="n">
        <v>6</v>
      </c>
      <c r="C7" s="1" t="n">
        <v>45423</v>
      </c>
      <c r="D7" s="0" t="str">
        <f aca="false">VLOOKUP(B7,Люди!A:D,2,FALSE())</f>
        <v>Попова Людмила Николаевна</v>
      </c>
      <c r="E7" s="2" t="n">
        <f aca="false">DATEDIF(VLOOKUP(B7,Люди!A:D,4,FALSE()),C7,"Y")</f>
        <v>89</v>
      </c>
      <c r="F7" s="2" t="n">
        <f aca="false">YEAR(C7)</f>
        <v>2024</v>
      </c>
    </row>
    <row r="8" customFormat="false" ht="15" hidden="false" customHeight="false" outlineLevel="0" collapsed="false">
      <c r="A8" s="0" t="n">
        <v>19</v>
      </c>
      <c r="B8" s="0" t="n">
        <v>7</v>
      </c>
      <c r="C8" s="1" t="n">
        <v>45461</v>
      </c>
      <c r="D8" s="0" t="str">
        <f aca="false">VLOOKUP(B8,Люди!A:D,2,FALSE())</f>
        <v>Васильев Пётр Юрьевич</v>
      </c>
      <c r="E8" s="2" t="n">
        <f aca="false">DATEDIF(VLOOKUP(B8,Люди!A:D,4,FALSE()),C8,"Y")</f>
        <v>91</v>
      </c>
      <c r="F8" s="2" t="n">
        <f aca="false">YEAR(C8)</f>
        <v>2024</v>
      </c>
    </row>
    <row r="9" customFormat="false" ht="15" hidden="false" customHeight="false" outlineLevel="0" collapsed="false">
      <c r="A9" s="0" t="n">
        <v>33</v>
      </c>
      <c r="B9" s="0" t="n">
        <v>8</v>
      </c>
      <c r="C9" s="1" t="n">
        <v>45488</v>
      </c>
      <c r="D9" s="0" t="str">
        <f aca="false">VLOOKUP(B9,Люди!A:D,2,FALSE())</f>
        <v>Михайлов Юрий Викторович</v>
      </c>
      <c r="E9" s="2" t="n">
        <f aca="false">DATEDIF(VLOOKUP(B9,Люди!A:D,4,FALSE()),C9,"Y")</f>
        <v>75</v>
      </c>
      <c r="F9" s="2" t="n">
        <f aca="false">YEAR(C9)</f>
        <v>2024</v>
      </c>
    </row>
    <row r="10" customFormat="false" ht="15" hidden="false" customHeight="false" outlineLevel="0" collapsed="false">
      <c r="A10" s="0" t="n">
        <v>2</v>
      </c>
      <c r="B10" s="0" t="n">
        <v>9</v>
      </c>
      <c r="C10" s="1" t="n">
        <v>45519</v>
      </c>
      <c r="D10" s="0" t="str">
        <f aca="false">VLOOKUP(B10,Люди!A:D,2,FALSE())</f>
        <v>Васильев Алексей Сергеевич</v>
      </c>
      <c r="E10" s="2" t="n">
        <f aca="false">DATEDIF(VLOOKUP(B10,Люди!A:D,4,FALSE()),C10,"Y")</f>
        <v>84</v>
      </c>
      <c r="F10" s="2" t="n">
        <f aca="false">YEAR(C10)</f>
        <v>2024</v>
      </c>
    </row>
    <row r="11" customFormat="false" ht="15" hidden="false" customHeight="false" outlineLevel="0" collapsed="false">
      <c r="A11" s="0" t="n">
        <v>27</v>
      </c>
      <c r="B11" s="0" t="n">
        <v>10</v>
      </c>
      <c r="C11" s="1" t="n">
        <v>45527</v>
      </c>
      <c r="D11" s="0" t="str">
        <f aca="false">VLOOKUP(B11,Люди!A:D,2,FALSE())</f>
        <v>Фёдорова Татьяна Юрьевна</v>
      </c>
      <c r="E11" s="2" t="n">
        <f aca="false">DATEDIF(VLOOKUP(B11,Люди!A:D,4,FALSE()),C11,"Y")</f>
        <v>65</v>
      </c>
      <c r="F11" s="2" t="n">
        <f aca="false">YEAR(C11)</f>
        <v>2024</v>
      </c>
    </row>
    <row r="12" customFormat="false" ht="15" hidden="false" customHeight="false" outlineLevel="0" collapsed="false">
      <c r="A12" s="0" t="n">
        <v>25</v>
      </c>
      <c r="B12" s="0" t="n">
        <v>11</v>
      </c>
      <c r="C12" s="1" t="n">
        <v>45536</v>
      </c>
      <c r="D12" s="0" t="str">
        <f aca="false">VLOOKUP(B12,Люди!A:D,2,FALSE())</f>
        <v>Фёдорова Мария Петровна</v>
      </c>
      <c r="E12" s="2" t="n">
        <f aca="false">DATEDIF(VLOOKUP(B12,Люди!A:D,4,FALSE()),C12,"Y")</f>
        <v>64</v>
      </c>
      <c r="F12" s="2" t="n">
        <f aca="false">YEAR(C12)</f>
        <v>2024</v>
      </c>
    </row>
    <row r="13" customFormat="false" ht="15" hidden="false" customHeight="false" outlineLevel="0" collapsed="false">
      <c r="A13" s="0" t="n">
        <v>48</v>
      </c>
      <c r="B13" s="0" t="n">
        <v>12</v>
      </c>
      <c r="C13" s="1" t="n">
        <v>45578</v>
      </c>
      <c r="D13" s="0" t="str">
        <f aca="false">VLOOKUP(B13,Люди!A:D,2,FALSE())</f>
        <v>Смирнов Владимир Викторович</v>
      </c>
      <c r="E13" s="2" t="n">
        <f aca="false">DATEDIF(VLOOKUP(B13,Люди!A:D,4,FALSE()),C13,"Y")</f>
        <v>93</v>
      </c>
      <c r="F13" s="2" t="n">
        <f aca="false">YEAR(C13)</f>
        <v>2024</v>
      </c>
    </row>
    <row r="14" customFormat="false" ht="15" hidden="false" customHeight="false" outlineLevel="0" collapsed="false">
      <c r="A14" s="0" t="n">
        <v>6</v>
      </c>
      <c r="B14" s="0" t="n">
        <v>13</v>
      </c>
      <c r="C14" s="1" t="n">
        <v>45607</v>
      </c>
      <c r="D14" s="0" t="str">
        <f aca="false">VLOOKUP(B14,Люди!A:D,2,FALSE())</f>
        <v>Фёдоров Михаил Михайлович</v>
      </c>
      <c r="E14" s="2" t="n">
        <f aca="false">DATEDIF(VLOOKUP(B14,Люди!A:D,4,FALSE()),C14,"Y")</f>
        <v>74</v>
      </c>
      <c r="F14" s="2" t="n">
        <f aca="false">YEAR(C14)</f>
        <v>2024</v>
      </c>
    </row>
    <row r="15" customFormat="false" ht="15" hidden="false" customHeight="false" outlineLevel="0" collapsed="false">
      <c r="A15" s="0" t="n">
        <v>47</v>
      </c>
      <c r="B15" s="0" t="n">
        <v>14</v>
      </c>
      <c r="C15" s="1" t="n">
        <v>45613</v>
      </c>
      <c r="D15" s="0" t="str">
        <f aca="false">VLOOKUP(B15,Люди!A:D,2,FALSE())</f>
        <v>Михайлов Пётр Петрович</v>
      </c>
      <c r="E15" s="2" t="n">
        <f aca="false">DATEDIF(VLOOKUP(B15,Люди!A:D,4,FALSE()),C15,"Y")</f>
        <v>79</v>
      </c>
      <c r="F15" s="2" t="n">
        <f aca="false">YEAR(C15)</f>
        <v>2024</v>
      </c>
    </row>
    <row r="16" customFormat="false" ht="15" hidden="false" customHeight="false" outlineLevel="0" collapsed="false">
      <c r="A16" s="0" t="n">
        <v>3</v>
      </c>
      <c r="B16" s="0" t="n">
        <v>15</v>
      </c>
      <c r="C16" s="1" t="n">
        <v>45646</v>
      </c>
      <c r="D16" s="0" t="str">
        <f aca="false">VLOOKUP(B16,Люди!A:D,2,FALSE())</f>
        <v>Иванов Алексей Борисович</v>
      </c>
      <c r="E16" s="2" t="n">
        <f aca="false">DATEDIF(VLOOKUP(B16,Люди!A:D,4,FALSE()),C16,"Y")</f>
        <v>68</v>
      </c>
      <c r="F16" s="2" t="n">
        <f aca="false">YEAR(C16)</f>
        <v>2024</v>
      </c>
    </row>
    <row r="17" customFormat="false" ht="15" hidden="false" customHeight="false" outlineLevel="0" collapsed="false">
      <c r="A17" s="0" t="n">
        <v>18</v>
      </c>
      <c r="B17" s="0" t="n">
        <v>16</v>
      </c>
      <c r="C17" s="1" t="n">
        <v>45667</v>
      </c>
      <c r="D17" s="0" t="str">
        <f aca="false">VLOOKUP(B17,Люди!A:D,2,FALSE())</f>
        <v>Морозова Нина Ивановна</v>
      </c>
      <c r="E17" s="2" t="n">
        <f aca="false">DATEDIF(VLOOKUP(B17,Люди!A:D,4,FALSE()),C17,"Y")</f>
        <v>67</v>
      </c>
      <c r="F17" s="2" t="n">
        <f aca="false">YEAR(C17)</f>
        <v>2025</v>
      </c>
    </row>
    <row r="18" customFormat="false" ht="15" hidden="false" customHeight="false" outlineLevel="0" collapsed="false">
      <c r="A18" s="0" t="n">
        <v>28</v>
      </c>
      <c r="B18" s="0" t="n">
        <v>17</v>
      </c>
      <c r="C18" s="1" t="n">
        <v>45674</v>
      </c>
      <c r="D18" s="0" t="str">
        <f aca="false">VLOOKUP(B18,Люди!A:D,2,FALSE())</f>
        <v>Михайлов Иван Сергеевич</v>
      </c>
      <c r="E18" s="2" t="n">
        <f aca="false">DATEDIF(VLOOKUP(B18,Люди!A:D,4,FALSE()),C18,"Y")</f>
        <v>78</v>
      </c>
      <c r="F18" s="2" t="n">
        <f aca="false">YEAR(C18)</f>
        <v>2025</v>
      </c>
    </row>
    <row r="19" customFormat="false" ht="15" hidden="false" customHeight="false" outlineLevel="0" collapsed="false">
      <c r="A19" s="0" t="n">
        <v>44</v>
      </c>
      <c r="B19" s="0" t="n">
        <v>18</v>
      </c>
      <c r="C19" s="1" t="n">
        <v>45691</v>
      </c>
      <c r="D19" s="0" t="str">
        <f aca="false">VLOOKUP(B19,Люди!A:D,2,FALSE())</f>
        <v>Соколова Валентина Петровна</v>
      </c>
      <c r="E19" s="2" t="n">
        <f aca="false">DATEDIF(VLOOKUP(B19,Люди!A:D,4,FALSE()),C19,"Y")</f>
        <v>86</v>
      </c>
      <c r="F19" s="2" t="n">
        <f aca="false">YEAR(C19)</f>
        <v>2025</v>
      </c>
    </row>
    <row r="20" customFormat="false" ht="15" hidden="false" customHeight="false" outlineLevel="0" collapsed="false">
      <c r="A20" s="0" t="n">
        <v>43</v>
      </c>
      <c r="B20" s="0" t="n">
        <v>19</v>
      </c>
      <c r="C20" s="1" t="n">
        <v>45720</v>
      </c>
      <c r="D20" s="0" t="str">
        <f aca="false">VLOOKUP(B20,Люди!A:D,2,FALSE())</f>
        <v>Семёнов Николай Викторович</v>
      </c>
      <c r="E20" s="2" t="n">
        <f aca="false">DATEDIF(VLOOKUP(B20,Люди!A:D,4,FALSE()),C20,"Y")</f>
        <v>79</v>
      </c>
      <c r="F20" s="2" t="n">
        <f aca="false">YEAR(C20)</f>
        <v>2025</v>
      </c>
    </row>
    <row r="21" customFormat="false" ht="15" hidden="false" customHeight="false" outlineLevel="0" collapsed="false">
      <c r="A21" s="0" t="n">
        <v>24</v>
      </c>
      <c r="B21" s="0" t="n">
        <v>20</v>
      </c>
      <c r="C21" s="1" t="n">
        <v>45785</v>
      </c>
      <c r="D21" s="0" t="str">
        <f aca="false">VLOOKUP(B21,Люди!A:D,2,FALSE())</f>
        <v>Морозов Виктор Сергеевич</v>
      </c>
      <c r="E21" s="2" t="n">
        <f aca="false">DATEDIF(VLOOKUP(B21,Люди!A:D,4,FALSE()),C21,"Y")</f>
        <v>88</v>
      </c>
      <c r="F21" s="2" t="n">
        <f aca="false">YEAR(C21)</f>
        <v>2025</v>
      </c>
    </row>
    <row r="22" customFormat="false" ht="15" hidden="false" customHeight="false" outlineLevel="0" collapsed="false">
      <c r="A22" s="0" t="n">
        <v>9</v>
      </c>
      <c r="B22" s="0" t="n">
        <v>21</v>
      </c>
      <c r="C22" s="1" t="n">
        <v>45803</v>
      </c>
      <c r="D22" s="0" t="str">
        <f aca="false">VLOOKUP(B22,Люди!A:D,2,FALSE())</f>
        <v>Морозова Елена Ивановна</v>
      </c>
      <c r="E22" s="2" t="n">
        <f aca="false">DATEDIF(VLOOKUP(B22,Люди!A:D,4,FALSE()),C22,"Y")</f>
        <v>65</v>
      </c>
      <c r="F22" s="2" t="n">
        <f aca="false">YEAR(C22)</f>
        <v>2025</v>
      </c>
    </row>
    <row r="23" customFormat="false" ht="15" hidden="false" customHeight="false" outlineLevel="0" collapsed="false">
      <c r="A23" s="0" t="n">
        <v>17</v>
      </c>
      <c r="B23" s="0" t="n">
        <v>22</v>
      </c>
      <c r="C23" s="1" t="n">
        <v>45812</v>
      </c>
      <c r="D23" s="0" t="str">
        <f aca="false">VLOOKUP(B23,Люди!A:D,2,FALSE())</f>
        <v>Иванова Ольга Викторовна</v>
      </c>
      <c r="E23" s="2" t="n">
        <f aca="false">DATEDIF(VLOOKUP(B23,Люди!A:D,4,FALSE()),C23,"Y")</f>
        <v>62</v>
      </c>
      <c r="F23" s="2" t="n">
        <f aca="false">YEAR(C23)</f>
        <v>2025</v>
      </c>
    </row>
    <row r="24" customFormat="false" ht="15" hidden="false" customHeight="false" outlineLevel="0" collapsed="false">
      <c r="A24" s="0" t="n">
        <v>46</v>
      </c>
      <c r="B24" s="0" t="n">
        <v>23</v>
      </c>
      <c r="C24" s="1" t="n">
        <v>45841</v>
      </c>
      <c r="D24" s="0" t="str">
        <f aca="false">VLOOKUP(B24,Люди!A:D,2,FALSE())</f>
        <v>Смирнов Юрий Борисович</v>
      </c>
      <c r="E24" s="2" t="n">
        <f aca="false">DATEDIF(VLOOKUP(B24,Люди!A:D,4,FALSE()),C24,"Y")</f>
        <v>93</v>
      </c>
      <c r="F24" s="2" t="n">
        <f aca="false">YEAR(C24)</f>
        <v>2025</v>
      </c>
    </row>
    <row r="25" customFormat="false" ht="15" hidden="false" customHeight="false" outlineLevel="0" collapsed="false">
      <c r="A25" s="0" t="n">
        <v>20</v>
      </c>
      <c r="B25" s="0" t="n">
        <v>24</v>
      </c>
      <c r="C25" s="1" t="n">
        <v>45847</v>
      </c>
      <c r="D25" s="0" t="str">
        <f aca="false">VLOOKUP(B25,Люди!A:D,2,FALSE())</f>
        <v>Лебедев Юрий Викторович</v>
      </c>
      <c r="E25" s="2" t="n">
        <f aca="false">DATEDIF(VLOOKUP(B25,Люди!A:D,4,FALSE()),C25,"Y")</f>
        <v>71</v>
      </c>
      <c r="F25" s="2" t="n">
        <f aca="false">YEAR(C25)</f>
        <v>2025</v>
      </c>
    </row>
    <row r="26" customFormat="false" ht="15" hidden="false" customHeight="false" outlineLevel="0" collapsed="false">
      <c r="A26" s="0" t="n">
        <v>14</v>
      </c>
      <c r="B26" s="0" t="n">
        <v>25</v>
      </c>
      <c r="C26" s="1" t="n">
        <v>45878</v>
      </c>
      <c r="D26" s="0" t="str">
        <f aca="false">VLOOKUP(B26,Люди!A:D,2,FALSE())</f>
        <v>Морозова Галина Ивановна</v>
      </c>
      <c r="E26" s="2" t="n">
        <f aca="false">DATEDIF(VLOOKUP(B26,Люди!A:D,4,FALSE()),C26,"Y")</f>
        <v>85</v>
      </c>
      <c r="F26" s="2" t="n">
        <f aca="false">YEAR(C26)</f>
        <v>2025</v>
      </c>
    </row>
    <row r="27" customFormat="false" ht="15" hidden="false" customHeight="false" outlineLevel="0" collapsed="false">
      <c r="A27" s="0" t="n">
        <v>13</v>
      </c>
      <c r="B27" s="0" t="n">
        <v>26</v>
      </c>
      <c r="C27" s="1" t="n">
        <v>45902</v>
      </c>
      <c r="D27" s="0" t="str">
        <f aca="false">VLOOKUP(B27,Люди!A:D,2,FALSE())</f>
        <v>Петрова Нина Борисовна</v>
      </c>
      <c r="E27" s="2" t="n">
        <f aca="false">DATEDIF(VLOOKUP(B27,Люди!A:D,4,FALSE()),C27,"Y")</f>
        <v>94</v>
      </c>
      <c r="F27" s="2" t="n">
        <f aca="false">YEAR(C27)</f>
        <v>2025</v>
      </c>
    </row>
    <row r="28" customFormat="false" ht="15" hidden="false" customHeight="false" outlineLevel="0" collapsed="false">
      <c r="A28" s="0" t="n">
        <v>45</v>
      </c>
      <c r="B28" s="0" t="n">
        <v>27</v>
      </c>
      <c r="C28" s="1" t="n">
        <v>45906</v>
      </c>
      <c r="D28" s="0" t="str">
        <f aca="false">VLOOKUP(B28,Люди!A:D,2,FALSE())</f>
        <v>Новиков Пётр Михайлович</v>
      </c>
      <c r="E28" s="2" t="n">
        <f aca="false">DATEDIF(VLOOKUP(B28,Люди!A:D,4,FALSE()),C28,"Y")</f>
        <v>96</v>
      </c>
      <c r="F28" s="2" t="n">
        <f aca="false">YEAR(C28)</f>
        <v>2025</v>
      </c>
    </row>
    <row r="29" customFormat="false" ht="15" hidden="false" customHeight="false" outlineLevel="0" collapsed="false">
      <c r="A29" s="0" t="n">
        <v>16</v>
      </c>
      <c r="B29" s="0" t="n">
        <v>28</v>
      </c>
      <c r="C29" s="1" t="n">
        <v>45925</v>
      </c>
      <c r="D29" s="0" t="str">
        <f aca="false">VLOOKUP(B29,Люди!A:D,2,FALSE())</f>
        <v>Соколова Ольга Алексеевна</v>
      </c>
      <c r="E29" s="2" t="n">
        <f aca="false">DATEDIF(VLOOKUP(B29,Люди!A:D,4,FALSE()),C29,"Y")</f>
        <v>74</v>
      </c>
      <c r="F29" s="2" t="n">
        <f aca="false">YEAR(C29)</f>
        <v>2025</v>
      </c>
    </row>
    <row r="30" customFormat="false" ht="15" hidden="false" customHeight="false" outlineLevel="0" collapsed="false">
      <c r="A30" s="0" t="n">
        <v>1</v>
      </c>
      <c r="B30" s="0" t="n">
        <v>29</v>
      </c>
      <c r="C30" s="1" t="n">
        <v>45939</v>
      </c>
      <c r="D30" s="0" t="str">
        <f aca="false">VLOOKUP(B30,Люди!A:D,2,FALSE())</f>
        <v>Петрова Валентина Владимировна</v>
      </c>
      <c r="E30" s="2" t="n">
        <f aca="false">DATEDIF(VLOOKUP(B30,Люди!A:D,4,FALSE()),C30,"Y")</f>
        <v>67</v>
      </c>
      <c r="F30" s="2" t="n">
        <f aca="false">YEAR(C30)</f>
        <v>2025</v>
      </c>
    </row>
    <row r="31" customFormat="false" ht="15" hidden="false" customHeight="false" outlineLevel="0" collapsed="false">
      <c r="A31" s="0" t="n">
        <v>10</v>
      </c>
      <c r="B31" s="0" t="n">
        <v>30</v>
      </c>
      <c r="C31" s="1" t="n">
        <v>45955</v>
      </c>
      <c r="D31" s="0" t="str">
        <f aca="false">VLOOKUP(B31,Люди!A:D,2,FALSE())</f>
        <v>Петрова Нина Алексеевна</v>
      </c>
      <c r="E31" s="2" t="n">
        <f aca="false">DATEDIF(VLOOKUP(B31,Люди!A:D,4,FALSE()),C31,"Y")</f>
        <v>66</v>
      </c>
      <c r="F31" s="2" t="n">
        <f aca="false">YEAR(C31)</f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2026-10-29T08:30:45Z</dcterms:created>
  <dc:creator>openpyxl</dc:creator>
  <dc:description/>
  <dc:language>en-US</dc:language>
  <cp:lastModifiedBy/>
  <dcterms:modified xsi:type="dcterms:W3CDTF">2026-10-29T08:30:45Z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